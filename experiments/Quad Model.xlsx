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u/Desktop/"/>
    </mc:Choice>
  </mc:AlternateContent>
  <xr:revisionPtr revIDLastSave="0" documentId="13_ncr:1_{3DEA46E9-95F2-E94E-BE92-D60E83FB020A}" xr6:coauthVersionLast="47" xr6:coauthVersionMax="47" xr10:uidLastSave="{00000000-0000-0000-0000-000000000000}"/>
  <bookViews>
    <workbookView xWindow="11260" yWindow="6560" windowWidth="35340" windowHeight="19900" xr2:uid="{0306178C-196F-A949-83BA-7B27B23D98CE}"/>
  </bookViews>
  <sheets>
    <sheet name="Products" sheetId="6" r:id="rId1"/>
    <sheet name="Targets" sheetId="7" r:id="rId2"/>
    <sheet name="xxx Actual Model" sheetId="1" r:id="rId3"/>
    <sheet name="xxx predic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8" i="1"/>
  <c r="F5" i="1"/>
  <c r="F9" i="1"/>
  <c r="F10" i="1"/>
  <c r="F4" i="1"/>
  <c r="F6" i="1"/>
  <c r="F7" i="1"/>
  <c r="E2" i="1"/>
  <c r="E3" i="1"/>
  <c r="E4" i="1"/>
  <c r="E5" i="1"/>
  <c r="E6" i="1"/>
  <c r="E7" i="1"/>
  <c r="E8" i="1"/>
  <c r="E9" i="1"/>
  <c r="E10" i="1"/>
  <c r="G2" i="1"/>
  <c r="G3" i="1"/>
  <c r="G4" i="1"/>
  <c r="G5" i="1"/>
  <c r="G6" i="1"/>
  <c r="G7" i="1"/>
  <c r="G8" i="1"/>
  <c r="G9" i="1"/>
  <c r="G10" i="1"/>
</calcChain>
</file>

<file path=xl/sharedStrings.xml><?xml version="1.0" encoding="utf-8"?>
<sst xmlns="http://schemas.openxmlformats.org/spreadsheetml/2006/main" count="220" uniqueCount="109">
  <si>
    <t>Input 1</t>
  </si>
  <si>
    <t>Input 2</t>
  </si>
  <si>
    <t>Input 3</t>
  </si>
  <si>
    <t>Output 1</t>
  </si>
  <si>
    <t>Output 2</t>
  </si>
  <si>
    <t>Output 3</t>
  </si>
  <si>
    <t>Output 1 prediction</t>
  </si>
  <si>
    <t>Output 2 prediction</t>
  </si>
  <si>
    <t>Output 3 prediction</t>
  </si>
  <si>
    <t>Output 1 uncertainty</t>
  </si>
  <si>
    <t>Output 2 uncertainty</t>
  </si>
  <si>
    <t>Output 3 uncertainty</t>
  </si>
  <si>
    <t>ROW NUM</t>
  </si>
  <si>
    <t>Formulation ID</t>
  </si>
  <si>
    <t>Resin (g)</t>
  </si>
  <si>
    <t>Solvent (g)</t>
  </si>
  <si>
    <t>Pigment (g)</t>
  </si>
  <si>
    <t>Additives (g)</t>
  </si>
  <si>
    <t>Extender (g)</t>
  </si>
  <si>
    <t>Prepared By</t>
  </si>
  <si>
    <t>Color</t>
  </si>
  <si>
    <t>Viscosity (KU)</t>
  </si>
  <si>
    <t>Dry Time (min)</t>
  </si>
  <si>
    <t>Adhesion (0-5B)</t>
  </si>
  <si>
    <t>Gloss (60°)</t>
  </si>
  <si>
    <t>Opacity (%)</t>
  </si>
  <si>
    <t>Finish Type</t>
  </si>
  <si>
    <t>Application Grade</t>
  </si>
  <si>
    <t>F01</t>
  </si>
  <si>
    <t>Lab Tech A</t>
  </si>
  <si>
    <t>Titanium White</t>
  </si>
  <si>
    <t>5B</t>
  </si>
  <si>
    <t>High Gloss</t>
  </si>
  <si>
    <t>Premium</t>
  </si>
  <si>
    <t>F02</t>
  </si>
  <si>
    <t>Lab Tech B</t>
  </si>
  <si>
    <t>Sky Blue</t>
  </si>
  <si>
    <t>4B</t>
  </si>
  <si>
    <t>Semi-Gloss</t>
  </si>
  <si>
    <t>Standard</t>
  </si>
  <si>
    <t>F03</t>
  </si>
  <si>
    <t>Slate Grey</t>
  </si>
  <si>
    <t>Professional</t>
  </si>
  <si>
    <t>F04</t>
  </si>
  <si>
    <t>Lab Tech C</t>
  </si>
  <si>
    <t>Forest Green</t>
  </si>
  <si>
    <t>3B</t>
  </si>
  <si>
    <t>Satin</t>
  </si>
  <si>
    <t>Economy</t>
  </si>
  <si>
    <t>F05</t>
  </si>
  <si>
    <t>F06</t>
  </si>
  <si>
    <t>F07</t>
  </si>
  <si>
    <t>Ochre Yellow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</si>
  <si>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</si>
  <si>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</si>
  <si>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</si>
  <si>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</si>
  <si>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</si>
  <si>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</si>
  <si>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</si>
  <si>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</si>
  <si>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</si>
  <si>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</si>
  <si>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</si>
  <si>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</si>
  <si>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</si>
  <si>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Composition Table</t>
  </si>
  <si>
    <t>Output 5</t>
  </si>
  <si>
    <t>Output 4</t>
  </si>
  <si>
    <t>Output 6</t>
  </si>
  <si>
    <t>Output 7</t>
  </si>
  <si>
    <t>Input 4</t>
  </si>
  <si>
    <t>Input 5</t>
  </si>
  <si>
    <t>Input 6</t>
  </si>
  <si>
    <t>Input 7</t>
  </si>
  <si>
    <t>Input 8</t>
  </si>
  <si>
    <t>Sheet 2: Mixing Instructions</t>
  </si>
  <si>
    <t>Step</t>
  </si>
  <si>
    <t>Phase</t>
  </si>
  <si>
    <t>Action Description</t>
  </si>
  <si>
    <t>Solvent Addition</t>
  </si>
  <si>
    <t>Charge vessel with the majority of solvent to create the liquid medium.</t>
  </si>
  <si>
    <t>Resin Incorporation</t>
  </si>
  <si>
    <t>Add Resin under low-speed agitation to create a homogenous binder.</t>
  </si>
  <si>
    <t>Additives</t>
  </si>
  <si>
    <t>Add wetting and dispersing agents to lower surface tension for pigments.</t>
  </si>
  <si>
    <t>Grind Phase</t>
  </si>
  <si>
    <t>Add Pigment and Extender under High-Speed Dispersion (HSD) until fine.</t>
  </si>
  <si>
    <t>Let-Down</t>
  </si>
  <si>
    <t>Final volume adjustment and stabilization with remaining liquids.</t>
  </si>
  <si>
    <t>Sheet 3: Testing Equipment Description</t>
  </si>
  <si>
    <t>Description</t>
  </si>
  <si>
    <t>Performance Metric</t>
  </si>
  <si>
    <t>Equipment (Brand &amp; Type)</t>
  </si>
  <si>
    <t>Appearance (Color Accuracy &amp; Consistency)</t>
  </si>
  <si>
    <t>X-Rite Ci64 Spectrophotometer</t>
  </si>
  <si>
    <t>Quantifies color and ΔE to ensure batch-to-batch consistency and match to target shade specifications.</t>
  </si>
  <si>
    <t>Appearance (Gloss / Sheen)</t>
  </si>
  <si>
    <t>BYK-Gardner micro-TRI-gloss Meter</t>
  </si>
  <si>
    <t>Measures gloss at multiple angles (20°, 60°, 85°) to characterize finish (matte to high gloss) and detect surface defects.</t>
  </si>
  <si>
    <t>Durability (Abrasion Resistance)</t>
  </si>
  <si>
    <t>Taber Industries Model 5135 Taber Abraser</t>
  </si>
  <si>
    <t>Simulates mechanical wear to assess coating resistance to scratching, scuffing, and erosion over time.</t>
  </si>
  <si>
    <t>Application (Viscosity / Flow Behavior)</t>
  </si>
  <si>
    <t>Brookfield DV2T Viscometer</t>
  </si>
  <si>
    <t>Measures viscosity and rheology, informing application properties like leveling, sag resistance, and ease of brushing or spraying.</t>
  </si>
  <si>
    <t>Long-Term Stability (Weathering Resistance)</t>
  </si>
  <si>
    <t>Q-Lab QUV/se Accelerated Weathering Tester</t>
  </si>
  <si>
    <t>Exposes coatings to UV, moisture, and heat cycles to predict fading, chalking, and degradation in real-world environments.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</si>
</sst>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rgb="FF0A0A0A"/>
      <name val="Arial"/>
      <family val="2"/>
    </font>
    <font>
      <sz val="14"/>
      <color rgb="FF0A0A0A"/>
      <name val="Arial"/>
      <family val="2"/>
    </font>
    <font>
      <sz val="14"/>
      <color rgb="FF0A0A0A"/>
      <name val="Arial"/>
      <family val="2"/>
    </font>
    <font>
      <b/>
      <sz val="20"/>
      <color rgb="FF0A0A0A"/>
      <name val="Arial"/>
      <family val="2"/>
    </font>
    <font>
      <b/>
      <sz val="14"/>
      <color theme="1"/>
      <name val="Arial"/>
      <family val="2"/>
    </font>
    <font>
      <b/>
      <sz val="22"/>
      <color theme="1"/>
      <name val="Aptos Narrow"/>
      <scheme val="minor"/>
    </font>
    <font>
      <sz val="12"/>
      <color theme="1"/>
      <name val="Aptos Narrow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2C4EE"/>
        <bgColor indexed="64"/>
      </patternFill>
    </fill>
    <fill>
      <patternFill patternType="solid">
        <fgColor rgb="FF8DC63F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1" xfId="0" applyFont="1" applyBorder="1"/>
    <xf numFmtId="0" fontId="3" fillId="4" borderId="0" xfId="0" applyFont="1" applyFill="1"/>
    <xf numFmtId="0" fontId="5" fillId="0" borderId="2" xfId="0" applyFont="1" applyBorder="1"/>
    <xf numFmtId="0" fontId="0" fillId="0" borderId="2" xfId="0" applyBorder="1"/>
    <xf numFmtId="0" fontId="7" fillId="0" borderId="2" xfId="0" applyFont="1" applyBorder="1"/>
    <xf numFmtId="0" fontId="8" fillId="0" borderId="2" xfId="0" applyFont="1" applyBorder="1"/>
    <xf numFmtId="0" fontId="9" fillId="0" borderId="0" xfId="0" applyFont="1"/>
    <xf numFmtId="0" fontId="10" fillId="0" borderId="0" xfId="0" applyFont="1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A0A0A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A0A0A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A0A0A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A0A0A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A0A0A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A0A0A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A0A0A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A0A0A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A0A0A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A0A0A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A0A0A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A0A0A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A0A0A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A0A0A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A0A0A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A0A0A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A0A0A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A0A0A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A0A0A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A0A0A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numFmt numFmtId="0" formatCode="General"/>
      <fill>
        <patternFill patternType="solid">
          <fgColor indexed="64"/>
          <bgColor rgb="FF8DC63F"/>
        </patternFill>
      </fill>
    </dxf>
    <dxf>
      <numFmt numFmtId="0" formatCode="General"/>
      <fill>
        <patternFill patternType="solid">
          <fgColor indexed="64"/>
          <bgColor rgb="FF8DC63F"/>
        </patternFill>
      </fill>
    </dxf>
    <dxf>
      <numFmt numFmtId="0" formatCode="General"/>
      <fill>
        <patternFill patternType="solid">
          <fgColor indexed="64"/>
          <bgColor rgb="FF8DC63F"/>
        </patternFill>
      </fill>
    </dxf>
    <dxf>
      <numFmt numFmtId="0" formatCode="General"/>
      <fill>
        <patternFill patternType="solid">
          <fgColor indexed="64"/>
          <bgColor rgb="FF32C4EE"/>
        </patternFill>
      </fill>
    </dxf>
    <dxf>
      <numFmt numFmtId="0" formatCode="General"/>
      <fill>
        <patternFill patternType="solid">
          <fgColor indexed="64"/>
          <bgColor rgb="FF32C4EE"/>
        </patternFill>
      </fill>
    </dxf>
    <dxf>
      <numFmt numFmtId="0" formatCode="General"/>
      <fill>
        <patternFill patternType="solid">
          <fgColor indexed="64"/>
          <bgColor rgb="FF32C4E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8DC63F"/>
        </patternFill>
      </fill>
    </dxf>
    <dxf>
      <numFmt numFmtId="0" formatCode="General"/>
      <fill>
        <patternFill patternType="solid">
          <fgColor indexed="64"/>
          <bgColor rgb="FF8DC63F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4D116D-1E0A-714D-A7D2-B44326FD3112}" name="Table3" displayName="Table3" ref="A3:O23" totalsRowShown="0" headerRowDxfId="2" dataDxfId="1">
  <autoFilter ref="A3:O23" xr:uid="{6F4D116D-1E0A-714D-A7D2-B44326FD3112}"/>
  <tableColumns count="15">
    <tableColumn id="1" xr3:uid="{33E290FC-C296-C447-84A2-5DA13F82EA53}" name="Formulation ID" dataDxfId="17"/>
    <tableColumn id="2" xr3:uid="{B12C3E61-A0D7-2543-92EF-AC65FB4B5FAF}" name="Resin (g)" dataDxfId="16"/>
    <tableColumn id="3" xr3:uid="{4E3E8FA4-439D-D84C-8820-9B7467C2577D}" name="Solvent (g)" dataDxfId="15"/>
    <tableColumn id="4" xr3:uid="{94EDF2B6-8027-6E45-A099-E409C349D419}" name="Pigment (g)" dataDxfId="14"/>
    <tableColumn id="5" xr3:uid="{60145BF4-4648-FC4A-B0FD-6260680FEF99}" name="Additives (g)" dataDxfId="13"/>
    <tableColumn id="6" xr3:uid="{8CFD3AC9-DA14-3740-B3D6-CCEEDDB70A33}" name="Extender (g)" dataDxfId="12"/>
    <tableColumn id="7" xr3:uid="{063E9EDF-E1A7-1E45-B96F-415B991769F9}" name="Prepared By" dataDxfId="11"/>
    <tableColumn id="8" xr3:uid="{DB1B480E-60C9-2F44-80FD-72A812081698}" name="Color" dataDxfId="10"/>
    <tableColumn id="9" xr3:uid="{648C6F3E-F4AA-9140-BB45-CFFDAC1FC593}" name="Viscosity (KU)" dataDxfId="9"/>
    <tableColumn id="10" xr3:uid="{F9C5A839-7652-F942-9E8F-2C15180F8314}" name="Dry Time (min)" dataDxfId="8"/>
    <tableColumn id="11" xr3:uid="{BC14BBD2-0299-A840-8B78-6FB1F18B9DCE}" name="Adhesion (0-5B)" dataDxfId="7"/>
    <tableColumn id="12" xr3:uid="{C5834ADB-0307-5844-AFF7-FAF8B4AB10C9}" name="Gloss (60°)" dataDxfId="6"/>
    <tableColumn id="13" xr3:uid="{D329EAF0-3832-9F43-A539-F861D2C392C7}" name="Opacity (%)" dataDxfId="5"/>
    <tableColumn id="14" xr3:uid="{CE540A47-F851-084D-81F4-E22A35EA2E2D}" name="Finish Type" dataDxfId="4"/>
    <tableColumn id="15" xr3:uid="{4653D141-3ABF-0243-9932-DCDB5CDD11D5}" name="Application Grade" dataDxfId="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E13B7F9-EEA1-B14E-9EF4-EE2B51F53600}" name="Table6" displayName="Table6" ref="A37:C42" totalsRowShown="0" headerRowDxfId="21" dataDxfId="22">
  <autoFilter ref="A37:C42" xr:uid="{7E13B7F9-EEA1-B14E-9EF4-EE2B51F53600}"/>
  <tableColumns count="3">
    <tableColumn id="2" xr3:uid="{82D64CC9-EACF-084D-B95F-2BFCBFD61A12}" name="Equipment (Brand &amp; Type)" dataDxfId="0"/>
    <tableColumn id="1" xr3:uid="{DC9D2881-6106-214E-9715-2B5B63544E21}" name="Performance Metric" dataDxfId="24"/>
    <tableColumn id="3" xr3:uid="{967E22C7-52BE-7A4C-B0C2-929AA4A708C4}" name="Description" dataDxfId="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695F8C1-7988-1E46-8A58-977814439D73}" name="Table7" displayName="Table7" ref="A28:C33" totalsRowShown="0">
  <autoFilter ref="A28:C33" xr:uid="{5695F8C1-7988-1E46-8A58-977814439D73}"/>
  <tableColumns count="3">
    <tableColumn id="1" xr3:uid="{95B8C609-CEB1-CE4D-8114-23AAFA15F489}" name="Step" dataDxfId="20"/>
    <tableColumn id="2" xr3:uid="{95057C7D-3FD2-A745-8D9D-3CE170938A2B}" name="Phase" dataDxfId="19"/>
    <tableColumn id="3" xr3:uid="{E55AAD89-4E77-604A-9A0C-5F2D930AEDB5}" name="Action Description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E50C0E-D991-804D-92B8-9D9193E8DF60}" name="Table1" displayName="Table1" ref="A1:G10" totalsRowShown="0">
  <autoFilter ref="A1:G10" xr:uid="{10E50C0E-D991-804D-92B8-9D9193E8DF60}"/>
  <sortState xmlns:xlrd2="http://schemas.microsoft.com/office/spreadsheetml/2017/richdata2" ref="A2:G10">
    <sortCondition ref="A1:A10"/>
  </sortState>
  <tableColumns count="7">
    <tableColumn id="1" xr3:uid="{9539C604-4CC1-224C-9AE9-564821697C6C}" name="ROW NUM"/>
    <tableColumn id="7" xr3:uid="{3CAE235D-1989-6F42-A60A-7B8FC8A774D3}" name="Input 1"/>
    <tableColumn id="2" xr3:uid="{3CC7D3F3-D561-F043-937C-695DE9C18BDB}" name="Input 2"/>
    <tableColumn id="3" xr3:uid="{DACB5751-FBCB-7347-8B51-F87D769CD468}" name="Input 3"/>
    <tableColumn id="4" xr3:uid="{9DE2D8C8-195F-0F4F-9F59-51810DD0CA30}" name="Output 1" dataDxfId="42">
      <calculatedColumnFormula>B2*0.3 + C2*0.5 - D2*10</calculatedColumnFormula>
    </tableColumn>
    <tableColumn id="5" xr3:uid="{A1D8645A-5258-0642-BCE2-050B3B9F789B}" name="Output 2" dataDxfId="41">
      <calculatedColumnFormula>B2*C2*D2-B2-D2*C2</calculatedColumnFormula>
    </tableColumn>
    <tableColumn id="6" xr3:uid="{4D5E4DA2-A09F-5741-B645-DA2A0EBF29EC}" name="Output 3" dataDxfId="40">
      <calculatedColumnFormula>INT(RAND()*Table1[[#This Row],[Input 1]]  + Table1[[#This Row],[Input 2]] + Table1[[#This Row],[Input 3]])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8DDC07-B596-154D-B441-E400DBADF2D6}" name="Table2" displayName="Table2" ref="A1:M10" totalsRowShown="0" headerRowDxfId="39" dataDxfId="38">
  <autoFilter ref="A1:M10" xr:uid="{C58DDC07-B596-154D-B441-E400DBADF2D6}"/>
  <tableColumns count="13">
    <tableColumn id="1" xr3:uid="{91B587A9-47FD-C547-A43E-E54A24DD4070}" name="ROW NUM" dataDxfId="37"/>
    <tableColumn id="2" xr3:uid="{F7B86DD5-682B-F24A-997C-3CFE85977327}" name="Input 1" dataDxfId="36"/>
    <tableColumn id="3" xr3:uid="{DF8ECEDF-3D7E-F54D-9F96-F100A34D07C3}" name="Input 2" dataDxfId="35"/>
    <tableColumn id="4" xr3:uid="{555CBE6E-78E3-1042-8460-7E711D306E9C}" name="Input 3" dataDxfId="34"/>
    <tableColumn id="5" xr3:uid="{8ACCA02D-F444-3E45-BC44-7997AAF1DC06}" name="Output 1" dataDxfId="33"/>
    <tableColumn id="6" xr3:uid="{9F8A07C5-ED18-7D4C-B183-6CEF2389C147}" name="Output 2" dataDxfId="32"/>
    <tableColumn id="7" xr3:uid="{59B37B1D-3BB7-B445-8A7E-30F1DD59CE56}" name="Output 3" dataDxfId="31"/>
    <tableColumn id="8" xr3:uid="{D1CE1D7D-93FA-184A-BBB0-75704B130758}" name="Output 1 prediction" dataDxfId="30"/>
    <tableColumn id="9" xr3:uid="{9ECDBACF-2D06-3948-BF83-199ACB8933F3}" name="Output 2 prediction" dataDxfId="29"/>
    <tableColumn id="10" xr3:uid="{89CC5218-4878-C049-B22D-5512D8E3038A}" name="Output 3 prediction" dataDxfId="28"/>
    <tableColumn id="11" xr3:uid="{6BD7AA4B-4F81-D944-AD02-B3EC6CD5522A}" name="Output 1 uncertainty" dataDxfId="27"/>
    <tableColumn id="12" xr3:uid="{11564B90-738B-034A-A983-E7ADAB73CC48}" name="Output 2 uncertainty" dataDxfId="26"/>
    <tableColumn id="13" xr3:uid="{B8BA8942-F3F3-1A41-8AD5-273586AAEE9C}" name="Output 3 uncertainty" dataDxfId="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3FFA825-F46B-B444-9F8D-48BF1C61754D}">
  <we:reference id="wa200009125" version="1.0.2.0" store="en-GB" storeType="OMEX"/>
  <we:alternateReferences>
    <we:reference id="WA200009125" version="1.0.2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9FFF3-CA43-814C-A594-AD8267706CA5}">
  <dimension ref="A1:O42"/>
  <sheetViews>
    <sheetView showGridLines="0" tabSelected="1" workbookViewId="0">
      <selection activeCell="B31" sqref="B31"/>
    </sheetView>
  </sheetViews>
  <sheetFormatPr baseColWidth="10" defaultRowHeight="16" x14ac:dyDescent="0.2"/>
  <cols>
    <col min="1" max="1" width="48.6640625" customWidth="1"/>
    <col min="2" max="2" width="30.6640625" customWidth="1"/>
    <col min="3" max="3" width="34.33203125" customWidth="1"/>
    <col min="4" max="4" width="16.6640625" customWidth="1"/>
    <col min="5" max="5" width="18.1640625" customWidth="1"/>
    <col min="6" max="6" width="17.5" customWidth="1"/>
    <col min="7" max="7" width="17.33203125" customWidth="1"/>
    <col min="8" max="8" width="15.5" customWidth="1"/>
    <col min="9" max="9" width="19.6640625" customWidth="1"/>
    <col min="10" max="10" width="20" customWidth="1"/>
    <col min="11" max="11" width="18.83203125" customWidth="1"/>
    <col min="12" max="12" width="16.1640625" customWidth="1"/>
    <col min="13" max="13" width="16.6640625" customWidth="1"/>
    <col min="14" max="14" width="17" customWidth="1"/>
    <col min="15" max="15" width="24.1640625" customWidth="1"/>
  </cols>
  <sheetData>
    <row r="1" spans="1:15" ht="29" x14ac:dyDescent="0.35">
      <c r="A1" s="11" t="s">
        <v>66</v>
      </c>
      <c r="B1" s="12"/>
      <c r="C1" s="12"/>
      <c r="D1" s="12"/>
    </row>
    <row r="2" spans="1:15" x14ac:dyDescent="0.2">
      <c r="A2" t="s">
        <v>0</v>
      </c>
      <c r="B2" t="s">
        <v>1</v>
      </c>
      <c r="C2" t="s">
        <v>2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  <c r="I2" t="s">
        <v>3</v>
      </c>
      <c r="J2" t="s">
        <v>4</v>
      </c>
      <c r="K2" t="s">
        <v>5</v>
      </c>
      <c r="L2" t="s">
        <v>68</v>
      </c>
      <c r="M2" t="s">
        <v>67</v>
      </c>
      <c r="N2" t="s">
        <v>69</v>
      </c>
      <c r="O2" t="s">
        <v>70</v>
      </c>
    </row>
    <row r="3" spans="1:15" ht="18" x14ac:dyDescent="0.2">
      <c r="A3" s="15" t="s">
        <v>13</v>
      </c>
      <c r="B3" s="15" t="s">
        <v>14</v>
      </c>
      <c r="C3" s="15" t="s">
        <v>15</v>
      </c>
      <c r="D3" s="15" t="s">
        <v>16</v>
      </c>
      <c r="E3" s="15" t="s">
        <v>17</v>
      </c>
      <c r="F3" s="15" t="s">
        <v>18</v>
      </c>
      <c r="G3" s="15" t="s">
        <v>19</v>
      </c>
      <c r="H3" s="15" t="s">
        <v>20</v>
      </c>
      <c r="I3" s="15" t="s">
        <v>21</v>
      </c>
      <c r="J3" s="15" t="s">
        <v>22</v>
      </c>
      <c r="K3" s="15" t="s">
        <v>23</v>
      </c>
      <c r="L3" s="15" t="s">
        <v>24</v>
      </c>
      <c r="M3" s="15" t="s">
        <v>25</v>
      </c>
      <c r="N3" s="15" t="s">
        <v>26</v>
      </c>
      <c r="O3" s="15" t="s">
        <v>27</v>
      </c>
    </row>
    <row r="4" spans="1:15" ht="18" x14ac:dyDescent="0.2">
      <c r="A4" s="16" t="s">
        <v>28</v>
      </c>
      <c r="B4" s="17">
        <v>450</v>
      </c>
      <c r="C4" s="17">
        <v>300</v>
      </c>
      <c r="D4" s="17">
        <v>150</v>
      </c>
      <c r="E4" s="17">
        <v>20</v>
      </c>
      <c r="F4" s="17">
        <v>80</v>
      </c>
      <c r="G4" s="17" t="s">
        <v>29</v>
      </c>
      <c r="H4" s="17" t="s">
        <v>30</v>
      </c>
      <c r="I4" s="17">
        <v>85</v>
      </c>
      <c r="J4" s="17">
        <v>45</v>
      </c>
      <c r="K4" s="17" t="s">
        <v>31</v>
      </c>
      <c r="L4" s="17">
        <v>88</v>
      </c>
      <c r="M4" s="17">
        <v>94</v>
      </c>
      <c r="N4" s="17" t="s">
        <v>32</v>
      </c>
      <c r="O4" s="17" t="s">
        <v>33</v>
      </c>
    </row>
    <row r="5" spans="1:15" ht="18" x14ac:dyDescent="0.2">
      <c r="A5" s="16" t="s">
        <v>34</v>
      </c>
      <c r="B5" s="17">
        <v>400</v>
      </c>
      <c r="C5" s="17">
        <v>350</v>
      </c>
      <c r="D5" s="17">
        <v>120</v>
      </c>
      <c r="E5" s="17">
        <v>30</v>
      </c>
      <c r="F5" s="17">
        <v>100</v>
      </c>
      <c r="G5" s="17" t="s">
        <v>35</v>
      </c>
      <c r="H5" s="17" t="s">
        <v>36</v>
      </c>
      <c r="I5" s="17">
        <v>78</v>
      </c>
      <c r="J5" s="17">
        <v>38</v>
      </c>
      <c r="K5" s="17" t="s">
        <v>37</v>
      </c>
      <c r="L5" s="17">
        <v>82</v>
      </c>
      <c r="M5" s="17">
        <v>91</v>
      </c>
      <c r="N5" s="17" t="s">
        <v>38</v>
      </c>
      <c r="O5" s="17" t="s">
        <v>39</v>
      </c>
    </row>
    <row r="6" spans="1:15" ht="18" x14ac:dyDescent="0.2">
      <c r="A6" s="16" t="s">
        <v>40</v>
      </c>
      <c r="B6" s="17">
        <v>500</v>
      </c>
      <c r="C6" s="17">
        <v>250</v>
      </c>
      <c r="D6" s="17">
        <v>180</v>
      </c>
      <c r="E6" s="17">
        <v>15</v>
      </c>
      <c r="F6" s="17">
        <v>55</v>
      </c>
      <c r="G6" s="17" t="s">
        <v>29</v>
      </c>
      <c r="H6" s="17" t="s">
        <v>41</v>
      </c>
      <c r="I6" s="17">
        <v>92</v>
      </c>
      <c r="J6" s="17">
        <v>55</v>
      </c>
      <c r="K6" s="17" t="s">
        <v>31</v>
      </c>
      <c r="L6" s="17">
        <v>91</v>
      </c>
      <c r="M6" s="17">
        <v>97</v>
      </c>
      <c r="N6" s="17" t="s">
        <v>32</v>
      </c>
      <c r="O6" s="17" t="s">
        <v>42</v>
      </c>
    </row>
    <row r="7" spans="1:15" ht="18" x14ac:dyDescent="0.2">
      <c r="A7" s="16" t="s">
        <v>43</v>
      </c>
      <c r="B7" s="17">
        <v>350</v>
      </c>
      <c r="C7" s="17">
        <v>400</v>
      </c>
      <c r="D7" s="17">
        <v>140</v>
      </c>
      <c r="E7" s="17">
        <v>25</v>
      </c>
      <c r="F7" s="17">
        <v>85</v>
      </c>
      <c r="G7" s="17" t="s">
        <v>44</v>
      </c>
      <c r="H7" s="17" t="s">
        <v>45</v>
      </c>
      <c r="I7" s="17">
        <v>72</v>
      </c>
      <c r="J7" s="17">
        <v>30</v>
      </c>
      <c r="K7" s="17" t="s">
        <v>46</v>
      </c>
      <c r="L7" s="17">
        <v>75</v>
      </c>
      <c r="M7" s="17">
        <v>89</v>
      </c>
      <c r="N7" s="17" t="s">
        <v>47</v>
      </c>
      <c r="O7" s="17" t="s">
        <v>48</v>
      </c>
    </row>
    <row r="8" spans="1:15" ht="18" x14ac:dyDescent="0.2">
      <c r="A8" s="16" t="s">
        <v>49</v>
      </c>
      <c r="B8" s="17">
        <v>420</v>
      </c>
      <c r="C8" s="17">
        <v>320</v>
      </c>
      <c r="D8" s="17">
        <v>160</v>
      </c>
      <c r="E8" s="17">
        <v>20</v>
      </c>
      <c r="F8" s="17">
        <v>80</v>
      </c>
      <c r="G8" s="17" t="s">
        <v>35</v>
      </c>
      <c r="H8" s="17" t="s">
        <v>30</v>
      </c>
      <c r="I8" s="17">
        <v>88</v>
      </c>
      <c r="J8" s="17">
        <v>42</v>
      </c>
      <c r="K8" s="17" t="s">
        <v>31</v>
      </c>
      <c r="L8" s="17">
        <v>85</v>
      </c>
      <c r="M8" s="17">
        <v>95</v>
      </c>
      <c r="N8" s="17" t="s">
        <v>32</v>
      </c>
      <c r="O8" s="17" t="s">
        <v>33</v>
      </c>
    </row>
    <row r="9" spans="1:15" ht="18" x14ac:dyDescent="0.2">
      <c r="A9" s="16" t="s">
        <v>50</v>
      </c>
      <c r="B9" s="17">
        <v>480</v>
      </c>
      <c r="C9" s="17">
        <v>280</v>
      </c>
      <c r="D9" s="17">
        <v>130</v>
      </c>
      <c r="E9" s="17">
        <v>10</v>
      </c>
      <c r="F9" s="17">
        <v>100</v>
      </c>
      <c r="G9" s="17" t="s">
        <v>29</v>
      </c>
      <c r="H9" s="17" t="s">
        <v>41</v>
      </c>
      <c r="I9" s="17">
        <v>95</v>
      </c>
      <c r="J9" s="17">
        <v>60</v>
      </c>
      <c r="K9" s="17" t="s">
        <v>37</v>
      </c>
      <c r="L9" s="17">
        <v>80</v>
      </c>
      <c r="M9" s="17">
        <v>92</v>
      </c>
      <c r="N9" s="17" t="s">
        <v>38</v>
      </c>
      <c r="O9" s="17" t="s">
        <v>39</v>
      </c>
    </row>
    <row r="10" spans="1:15" ht="18" x14ac:dyDescent="0.2">
      <c r="A10" s="16" t="s">
        <v>51</v>
      </c>
      <c r="B10" s="17">
        <v>380</v>
      </c>
      <c r="C10" s="17">
        <v>370</v>
      </c>
      <c r="D10" s="17">
        <v>170</v>
      </c>
      <c r="E10" s="17">
        <v>35</v>
      </c>
      <c r="F10" s="17">
        <v>45</v>
      </c>
      <c r="G10" s="17" t="s">
        <v>44</v>
      </c>
      <c r="H10" s="17" t="s">
        <v>52</v>
      </c>
      <c r="I10" s="17">
        <v>80</v>
      </c>
      <c r="J10" s="17">
        <v>35</v>
      </c>
      <c r="K10" s="17" t="s">
        <v>31</v>
      </c>
      <c r="L10" s="17">
        <v>84</v>
      </c>
      <c r="M10" s="17">
        <v>96</v>
      </c>
      <c r="N10" s="17" t="s">
        <v>38</v>
      </c>
      <c r="O10" s="17" t="s">
        <v>33</v>
      </c>
    </row>
    <row r="11" spans="1:15" ht="18" x14ac:dyDescent="0.2">
      <c r="A11" s="16" t="s">
        <v>53</v>
      </c>
      <c r="B11" s="17">
        <v>440</v>
      </c>
      <c r="C11" s="17">
        <v>310</v>
      </c>
      <c r="D11" s="17">
        <v>145</v>
      </c>
      <c r="E11" s="17">
        <v>25</v>
      </c>
      <c r="F11" s="17">
        <v>80</v>
      </c>
      <c r="G11" s="17" t="s">
        <v>35</v>
      </c>
      <c r="H11" s="17" t="s">
        <v>36</v>
      </c>
      <c r="I11" s="17">
        <v>84</v>
      </c>
      <c r="J11" s="17">
        <v>48</v>
      </c>
      <c r="K11" s="17" t="s">
        <v>31</v>
      </c>
      <c r="L11" s="17">
        <v>87</v>
      </c>
      <c r="M11" s="17">
        <v>93</v>
      </c>
      <c r="N11" s="17" t="s">
        <v>32</v>
      </c>
      <c r="O11" s="17" t="s">
        <v>39</v>
      </c>
    </row>
    <row r="12" spans="1:15" ht="18" x14ac:dyDescent="0.2">
      <c r="A12" s="16" t="s">
        <v>54</v>
      </c>
      <c r="B12" s="17">
        <v>460</v>
      </c>
      <c r="C12" s="17">
        <v>290</v>
      </c>
      <c r="D12" s="17">
        <v>155</v>
      </c>
      <c r="E12" s="17">
        <v>15</v>
      </c>
      <c r="F12" s="17">
        <v>80</v>
      </c>
      <c r="G12" s="17" t="s">
        <v>29</v>
      </c>
      <c r="H12" s="17" t="s">
        <v>30</v>
      </c>
      <c r="I12" s="17">
        <v>90</v>
      </c>
      <c r="J12" s="17">
        <v>50</v>
      </c>
      <c r="K12" s="17" t="s">
        <v>37</v>
      </c>
      <c r="L12" s="17">
        <v>89</v>
      </c>
      <c r="M12" s="17">
        <v>95</v>
      </c>
      <c r="N12" s="17" t="s">
        <v>32</v>
      </c>
      <c r="O12" s="17" t="s">
        <v>42</v>
      </c>
    </row>
    <row r="13" spans="1:15" ht="18" x14ac:dyDescent="0.2">
      <c r="A13" s="16" t="s">
        <v>55</v>
      </c>
      <c r="B13" s="17">
        <v>410</v>
      </c>
      <c r="C13" s="17">
        <v>340</v>
      </c>
      <c r="D13" s="17">
        <v>125</v>
      </c>
      <c r="E13" s="17">
        <v>40</v>
      </c>
      <c r="F13" s="17">
        <v>85</v>
      </c>
      <c r="G13" s="17" t="s">
        <v>44</v>
      </c>
      <c r="H13" s="17" t="s">
        <v>45</v>
      </c>
      <c r="I13" s="17">
        <v>76</v>
      </c>
      <c r="J13" s="17">
        <v>40</v>
      </c>
      <c r="K13" s="17" t="s">
        <v>46</v>
      </c>
      <c r="L13" s="17">
        <v>79</v>
      </c>
      <c r="M13" s="17">
        <v>90</v>
      </c>
      <c r="N13" s="17" t="s">
        <v>47</v>
      </c>
      <c r="O13" s="17" t="s">
        <v>48</v>
      </c>
    </row>
    <row r="14" spans="1:15" ht="18" x14ac:dyDescent="0.2">
      <c r="A14" s="16" t="s">
        <v>56</v>
      </c>
      <c r="B14" s="17">
        <v>430</v>
      </c>
      <c r="C14" s="17">
        <v>330</v>
      </c>
      <c r="D14" s="17">
        <v>150</v>
      </c>
      <c r="E14" s="17">
        <v>20</v>
      </c>
      <c r="F14" s="17">
        <v>70</v>
      </c>
      <c r="G14" s="17" t="s">
        <v>35</v>
      </c>
      <c r="H14" s="17" t="s">
        <v>41</v>
      </c>
      <c r="I14" s="17">
        <v>82</v>
      </c>
      <c r="J14" s="17">
        <v>44</v>
      </c>
      <c r="K14" s="17" t="s">
        <v>31</v>
      </c>
      <c r="L14" s="17">
        <v>86</v>
      </c>
      <c r="M14" s="17">
        <v>94</v>
      </c>
      <c r="N14" s="17" t="s">
        <v>32</v>
      </c>
      <c r="O14" s="17" t="s">
        <v>33</v>
      </c>
    </row>
    <row r="15" spans="1:15" ht="18" x14ac:dyDescent="0.2">
      <c r="A15" s="16" t="s">
        <v>57</v>
      </c>
      <c r="B15" s="17">
        <v>470</v>
      </c>
      <c r="C15" s="17">
        <v>270</v>
      </c>
      <c r="D15" s="17">
        <v>165</v>
      </c>
      <c r="E15" s="17">
        <v>25</v>
      </c>
      <c r="F15" s="17">
        <v>70</v>
      </c>
      <c r="G15" s="17" t="s">
        <v>29</v>
      </c>
      <c r="H15" s="17" t="s">
        <v>30</v>
      </c>
      <c r="I15" s="17">
        <v>98</v>
      </c>
      <c r="J15" s="17">
        <v>58</v>
      </c>
      <c r="K15" s="17" t="s">
        <v>31</v>
      </c>
      <c r="L15" s="17">
        <v>90</v>
      </c>
      <c r="M15" s="17">
        <v>98</v>
      </c>
      <c r="N15" s="17" t="s">
        <v>32</v>
      </c>
      <c r="O15" s="17" t="s">
        <v>42</v>
      </c>
    </row>
    <row r="16" spans="1:15" ht="18" x14ac:dyDescent="0.2">
      <c r="A16" s="16" t="s">
        <v>58</v>
      </c>
      <c r="B16" s="17">
        <v>390</v>
      </c>
      <c r="C16" s="17">
        <v>360</v>
      </c>
      <c r="D16" s="17">
        <v>135</v>
      </c>
      <c r="E16" s="17">
        <v>30</v>
      </c>
      <c r="F16" s="17">
        <v>85</v>
      </c>
      <c r="G16" s="17" t="s">
        <v>35</v>
      </c>
      <c r="H16" s="17" t="s">
        <v>36</v>
      </c>
      <c r="I16" s="17">
        <v>79</v>
      </c>
      <c r="J16" s="17">
        <v>36</v>
      </c>
      <c r="K16" s="17" t="s">
        <v>37</v>
      </c>
      <c r="L16" s="17">
        <v>81</v>
      </c>
      <c r="M16" s="17">
        <v>91</v>
      </c>
      <c r="N16" s="17" t="s">
        <v>38</v>
      </c>
      <c r="O16" s="17" t="s">
        <v>39</v>
      </c>
    </row>
    <row r="17" spans="1:15" ht="18" x14ac:dyDescent="0.2">
      <c r="A17" s="16" t="s">
        <v>59</v>
      </c>
      <c r="B17" s="17">
        <v>415</v>
      </c>
      <c r="C17" s="17">
        <v>325</v>
      </c>
      <c r="D17" s="17">
        <v>160</v>
      </c>
      <c r="E17" s="17">
        <v>20</v>
      </c>
      <c r="F17" s="17">
        <v>80</v>
      </c>
      <c r="G17" s="17" t="s">
        <v>44</v>
      </c>
      <c r="H17" s="17" t="s">
        <v>52</v>
      </c>
      <c r="I17" s="17">
        <v>86</v>
      </c>
      <c r="J17" s="17">
        <v>43</v>
      </c>
      <c r="K17" s="17" t="s">
        <v>31</v>
      </c>
      <c r="L17" s="17">
        <v>85</v>
      </c>
      <c r="M17" s="17">
        <v>95</v>
      </c>
      <c r="N17" s="17" t="s">
        <v>32</v>
      </c>
      <c r="O17" s="17" t="s">
        <v>33</v>
      </c>
    </row>
    <row r="18" spans="1:15" ht="18" x14ac:dyDescent="0.2">
      <c r="A18" s="16" t="s">
        <v>60</v>
      </c>
      <c r="B18" s="17">
        <v>455</v>
      </c>
      <c r="C18" s="17">
        <v>305</v>
      </c>
      <c r="D18" s="17">
        <v>140</v>
      </c>
      <c r="E18" s="17">
        <v>15</v>
      </c>
      <c r="F18" s="17">
        <v>85</v>
      </c>
      <c r="G18" s="17" t="s">
        <v>29</v>
      </c>
      <c r="H18" s="17" t="s">
        <v>41</v>
      </c>
      <c r="I18" s="17">
        <v>89</v>
      </c>
      <c r="J18" s="17">
        <v>47</v>
      </c>
      <c r="K18" s="17" t="s">
        <v>31</v>
      </c>
      <c r="L18" s="17">
        <v>88</v>
      </c>
      <c r="M18" s="17">
        <v>93</v>
      </c>
      <c r="N18" s="17" t="s">
        <v>32</v>
      </c>
      <c r="O18" s="17" t="s">
        <v>33</v>
      </c>
    </row>
    <row r="19" spans="1:15" ht="18" x14ac:dyDescent="0.2">
      <c r="A19" s="16" t="s">
        <v>61</v>
      </c>
      <c r="B19" s="17">
        <v>375</v>
      </c>
      <c r="C19" s="17">
        <v>385</v>
      </c>
      <c r="D19" s="17">
        <v>145</v>
      </c>
      <c r="E19" s="17">
        <v>35</v>
      </c>
      <c r="F19" s="17">
        <v>60</v>
      </c>
      <c r="G19" s="17" t="s">
        <v>44</v>
      </c>
      <c r="H19" s="17" t="s">
        <v>45</v>
      </c>
      <c r="I19" s="17">
        <v>74</v>
      </c>
      <c r="J19" s="17">
        <v>32</v>
      </c>
      <c r="K19" s="17" t="s">
        <v>46</v>
      </c>
      <c r="L19" s="17">
        <v>77</v>
      </c>
      <c r="M19" s="17">
        <v>92</v>
      </c>
      <c r="N19" s="17" t="s">
        <v>47</v>
      </c>
      <c r="O19" s="17" t="s">
        <v>48</v>
      </c>
    </row>
    <row r="20" spans="1:15" ht="18" x14ac:dyDescent="0.2">
      <c r="A20" s="16" t="s">
        <v>62</v>
      </c>
      <c r="B20" s="17">
        <v>490</v>
      </c>
      <c r="C20" s="17">
        <v>260</v>
      </c>
      <c r="D20" s="17">
        <v>175</v>
      </c>
      <c r="E20" s="17">
        <v>10</v>
      </c>
      <c r="F20" s="17">
        <v>65</v>
      </c>
      <c r="G20" s="17" t="s">
        <v>29</v>
      </c>
      <c r="H20" s="17" t="s">
        <v>30</v>
      </c>
      <c r="I20" s="17">
        <v>102</v>
      </c>
      <c r="J20" s="17">
        <v>65</v>
      </c>
      <c r="K20" s="17" t="s">
        <v>37</v>
      </c>
      <c r="L20" s="17">
        <v>92</v>
      </c>
      <c r="M20" s="17">
        <v>98</v>
      </c>
      <c r="N20" s="17" t="s">
        <v>32</v>
      </c>
      <c r="O20" s="17" t="s">
        <v>42</v>
      </c>
    </row>
    <row r="21" spans="1:15" ht="18" x14ac:dyDescent="0.2">
      <c r="A21" s="16" t="s">
        <v>63</v>
      </c>
      <c r="B21" s="17">
        <v>425</v>
      </c>
      <c r="C21" s="17">
        <v>315</v>
      </c>
      <c r="D21" s="17">
        <v>150</v>
      </c>
      <c r="E21" s="17">
        <v>25</v>
      </c>
      <c r="F21" s="17">
        <v>85</v>
      </c>
      <c r="G21" s="17" t="s">
        <v>35</v>
      </c>
      <c r="H21" s="17" t="s">
        <v>36</v>
      </c>
      <c r="I21" s="17">
        <v>87</v>
      </c>
      <c r="J21" s="17">
        <v>45</v>
      </c>
      <c r="K21" s="17" t="s">
        <v>31</v>
      </c>
      <c r="L21" s="17">
        <v>84</v>
      </c>
      <c r="M21" s="17">
        <v>94</v>
      </c>
      <c r="N21" s="17" t="s">
        <v>38</v>
      </c>
      <c r="O21" s="17" t="s">
        <v>39</v>
      </c>
    </row>
    <row r="22" spans="1:15" ht="18" x14ac:dyDescent="0.2">
      <c r="A22" s="16" t="s">
        <v>64</v>
      </c>
      <c r="B22" s="17">
        <v>405</v>
      </c>
      <c r="C22" s="17">
        <v>345</v>
      </c>
      <c r="D22" s="17">
        <v>130</v>
      </c>
      <c r="E22" s="17">
        <v>30</v>
      </c>
      <c r="F22" s="17">
        <v>90</v>
      </c>
      <c r="G22" s="17" t="s">
        <v>44</v>
      </c>
      <c r="H22" s="17" t="s">
        <v>41</v>
      </c>
      <c r="I22" s="17">
        <v>77</v>
      </c>
      <c r="J22" s="17">
        <v>39</v>
      </c>
      <c r="K22" s="17" t="s">
        <v>37</v>
      </c>
      <c r="L22" s="17">
        <v>80</v>
      </c>
      <c r="M22" s="17">
        <v>91</v>
      </c>
      <c r="N22" s="17" t="s">
        <v>38</v>
      </c>
      <c r="O22" s="17" t="s">
        <v>39</v>
      </c>
    </row>
    <row r="23" spans="1:15" ht="18" x14ac:dyDescent="0.2">
      <c r="A23" s="16" t="s">
        <v>65</v>
      </c>
      <c r="B23" s="17">
        <v>445</v>
      </c>
      <c r="C23" s="17">
        <v>305</v>
      </c>
      <c r="D23" s="17">
        <v>155</v>
      </c>
      <c r="E23" s="17">
        <v>20</v>
      </c>
      <c r="F23" s="17">
        <v>75</v>
      </c>
      <c r="G23" s="17" t="s">
        <v>35</v>
      </c>
      <c r="H23" s="17" t="s">
        <v>30</v>
      </c>
      <c r="I23" s="17">
        <v>91</v>
      </c>
      <c r="J23" s="17">
        <v>49</v>
      </c>
      <c r="K23" s="17" t="s">
        <v>31</v>
      </c>
      <c r="L23" s="17">
        <v>87</v>
      </c>
      <c r="M23" s="17">
        <v>96</v>
      </c>
      <c r="N23" s="17" t="s">
        <v>32</v>
      </c>
      <c r="O23" s="17" t="s">
        <v>33</v>
      </c>
    </row>
    <row r="27" spans="1:15" ht="25" x14ac:dyDescent="0.25">
      <c r="A27" s="9" t="s">
        <v>76</v>
      </c>
      <c r="B27" s="10"/>
      <c r="C27" s="10"/>
      <c r="D27" s="10"/>
    </row>
    <row r="28" spans="1:15" ht="18" x14ac:dyDescent="0.2">
      <c r="A28" s="4" t="s">
        <v>77</v>
      </c>
      <c r="B28" s="4" t="s">
        <v>78</v>
      </c>
      <c r="C28" s="4" t="s">
        <v>79</v>
      </c>
    </row>
    <row r="29" spans="1:15" ht="18" x14ac:dyDescent="0.2">
      <c r="A29" s="5">
        <v>1</v>
      </c>
      <c r="B29" s="5" t="s">
        <v>80</v>
      </c>
      <c r="C29" s="6" t="s">
        <v>81</v>
      </c>
    </row>
    <row r="30" spans="1:15" ht="18" x14ac:dyDescent="0.2">
      <c r="A30" s="5">
        <v>2</v>
      </c>
      <c r="B30" s="5" t="s">
        <v>82</v>
      </c>
      <c r="C30" s="6" t="s">
        <v>83</v>
      </c>
    </row>
    <row r="31" spans="1:15" ht="18" x14ac:dyDescent="0.2">
      <c r="A31" s="5">
        <v>3</v>
      </c>
      <c r="B31" s="5" t="s">
        <v>84</v>
      </c>
      <c r="C31" s="6" t="s">
        <v>85</v>
      </c>
    </row>
    <row r="32" spans="1:15" ht="18" x14ac:dyDescent="0.2">
      <c r="A32" s="5">
        <v>4</v>
      </c>
      <c r="B32" s="5" t="s">
        <v>86</v>
      </c>
      <c r="C32" s="6" t="s">
        <v>87</v>
      </c>
    </row>
    <row r="33" spans="1:8" ht="18" x14ac:dyDescent="0.2">
      <c r="A33" s="5">
        <v>5</v>
      </c>
      <c r="B33" s="5" t="s">
        <v>88</v>
      </c>
      <c r="C33" s="6" t="s">
        <v>89</v>
      </c>
    </row>
    <row r="36" spans="1:8" ht="25" x14ac:dyDescent="0.25">
      <c r="A36" s="9" t="s">
        <v>90</v>
      </c>
      <c r="B36" s="10"/>
      <c r="C36" s="10"/>
      <c r="D36" s="10"/>
    </row>
    <row r="37" spans="1:8" ht="19" x14ac:dyDescent="0.25">
      <c r="A37" s="13" t="s">
        <v>93</v>
      </c>
      <c r="B37" s="13" t="s">
        <v>92</v>
      </c>
      <c r="C37" s="13" t="s">
        <v>91</v>
      </c>
      <c r="D37" s="14"/>
      <c r="E37" s="14"/>
      <c r="F37" s="14"/>
      <c r="G37" s="14"/>
      <c r="H37" s="14"/>
    </row>
    <row r="38" spans="1:8" ht="19" x14ac:dyDescent="0.25">
      <c r="A38" s="14" t="s">
        <v>95</v>
      </c>
      <c r="B38" s="14" t="s">
        <v>94</v>
      </c>
      <c r="C38" s="14" t="s">
        <v>96</v>
      </c>
      <c r="D38" s="14"/>
      <c r="E38" s="14"/>
      <c r="F38" s="14"/>
      <c r="G38" s="14"/>
      <c r="H38" s="14"/>
    </row>
    <row r="39" spans="1:8" ht="19" x14ac:dyDescent="0.25">
      <c r="A39" s="14" t="s">
        <v>98</v>
      </c>
      <c r="B39" s="14" t="s">
        <v>97</v>
      </c>
      <c r="C39" s="14" t="s">
        <v>99</v>
      </c>
      <c r="D39" s="14"/>
      <c r="E39" s="14"/>
      <c r="F39" s="14"/>
      <c r="G39" s="14"/>
      <c r="H39" s="14"/>
    </row>
    <row r="40" spans="1:8" ht="19" x14ac:dyDescent="0.25">
      <c r="A40" s="14" t="s">
        <v>101</v>
      </c>
      <c r="B40" s="14" t="s">
        <v>100</v>
      </c>
      <c r="C40" s="14" t="s">
        <v>102</v>
      </c>
      <c r="D40" s="14"/>
      <c r="E40" s="14"/>
      <c r="F40" s="14"/>
      <c r="G40" s="14"/>
      <c r="H40" s="14"/>
    </row>
    <row r="41" spans="1:8" ht="19" x14ac:dyDescent="0.25">
      <c r="A41" s="14" t="s">
        <v>104</v>
      </c>
      <c r="B41" s="14" t="s">
        <v>103</v>
      </c>
      <c r="C41" s="14" t="s">
        <v>105</v>
      </c>
      <c r="D41" s="14"/>
      <c r="E41" s="14"/>
      <c r="F41" s="14"/>
      <c r="G41" s="14"/>
      <c r="H41" s="14"/>
    </row>
    <row r="42" spans="1:8" ht="19" x14ac:dyDescent="0.25">
      <c r="A42" s="14" t="s">
        <v>107</v>
      </c>
      <c r="B42" s="14" t="s">
        <v>106</v>
      </c>
      <c r="C42" s="14" t="s">
        <v>108</v>
      </c>
      <c r="D42" s="14"/>
      <c r="E42" s="14"/>
      <c r="F42" s="14"/>
      <c r="G42" s="14"/>
      <c r="H42" s="14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F96A1-DEF1-9844-912F-85A9AE9E4E99}">
  <dimension ref="A1:G4"/>
  <sheetViews>
    <sheetView showGridLines="0" workbookViewId="0">
      <selection activeCell="D30" sqref="D30"/>
    </sheetView>
  </sheetViews>
  <sheetFormatPr baseColWidth="10" defaultRowHeight="16" x14ac:dyDescent="0.2"/>
  <cols>
    <col min="1" max="1" width="17.5" bestFit="1" customWidth="1"/>
    <col min="2" max="2" width="17.83203125" bestFit="1" customWidth="1"/>
    <col min="3" max="3" width="19.83203125" bestFit="1" customWidth="1"/>
    <col min="4" max="4" width="13.33203125" bestFit="1" customWidth="1"/>
    <col min="5" max="5" width="14.33203125" bestFit="1" customWidth="1"/>
    <col min="6" max="6" width="14.6640625" bestFit="1" customWidth="1"/>
    <col min="7" max="7" width="22.1640625" bestFit="1" customWidth="1"/>
  </cols>
  <sheetData>
    <row r="1" spans="1:7" ht="18" x14ac:dyDescent="0.2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</row>
    <row r="2" spans="1:7" ht="18" x14ac:dyDescent="0.2">
      <c r="A2" s="8">
        <v>80</v>
      </c>
      <c r="B2" s="8">
        <v>30</v>
      </c>
      <c r="C2" s="8" t="s">
        <v>31</v>
      </c>
      <c r="D2" s="8">
        <v>80</v>
      </c>
      <c r="E2" s="8">
        <v>95</v>
      </c>
      <c r="F2" s="8" t="s">
        <v>38</v>
      </c>
      <c r="G2" s="8" t="s">
        <v>39</v>
      </c>
    </row>
    <row r="3" spans="1:7" ht="18" x14ac:dyDescent="0.2">
      <c r="A3" s="3">
        <v>67</v>
      </c>
      <c r="B3" s="3">
        <v>32</v>
      </c>
      <c r="C3" s="3" t="s">
        <v>31</v>
      </c>
      <c r="D3" s="3">
        <v>80</v>
      </c>
      <c r="E3" s="3">
        <v>95</v>
      </c>
      <c r="F3" s="3" t="s">
        <v>38</v>
      </c>
      <c r="G3" s="3" t="s">
        <v>39</v>
      </c>
    </row>
    <row r="4" spans="1:7" ht="18" x14ac:dyDescent="0.2">
      <c r="A4" s="8">
        <v>100</v>
      </c>
      <c r="B4" s="8">
        <v>34</v>
      </c>
      <c r="C4" s="8" t="s">
        <v>31</v>
      </c>
      <c r="D4" s="8">
        <v>75</v>
      </c>
      <c r="E4" s="8">
        <v>95</v>
      </c>
      <c r="F4" s="8" t="s">
        <v>38</v>
      </c>
      <c r="G4" s="8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464C6-369E-D846-BCA4-2B1047987EB7}">
  <dimension ref="A1:G10"/>
  <sheetViews>
    <sheetView showGridLines="0" workbookViewId="0">
      <selection activeCell="E2" sqref="E2"/>
    </sheetView>
  </sheetViews>
  <sheetFormatPr baseColWidth="10" defaultRowHeight="16" x14ac:dyDescent="0.2"/>
  <cols>
    <col min="1" max="1" width="14" customWidth="1"/>
    <col min="5" max="5" width="14.1640625" customWidth="1"/>
    <col min="6" max="6" width="15.5" customWidth="1"/>
    <col min="7" max="7" width="16.1640625" customWidth="1"/>
  </cols>
  <sheetData>
    <row r="1" spans="1:7" x14ac:dyDescent="0.2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1</v>
      </c>
      <c r="B2">
        <v>1</v>
      </c>
      <c r="C2">
        <v>5</v>
      </c>
      <c r="D2">
        <v>10</v>
      </c>
      <c r="E2">
        <f t="shared" ref="E2:E10" si="0">B2*0.3 + C2*0.5 - D2*10</f>
        <v>-97.2</v>
      </c>
      <c r="F2">
        <f t="shared" ref="F2:F10" si="1">B2*C2*D2-B2-D2*C2</f>
        <v>-1</v>
      </c>
      <c r="G2">
        <f ca="1">INT(RAND()*Table1[[#This Row],[Input 1]]  + Table1[[#This Row],[Input 2]] + Table1[[#This Row],[Input 3]])</f>
        <v>15</v>
      </c>
    </row>
    <row r="3" spans="1:7" x14ac:dyDescent="0.2">
      <c r="A3">
        <v>2</v>
      </c>
      <c r="B3">
        <v>2</v>
      </c>
      <c r="C3">
        <v>3</v>
      </c>
      <c r="D3">
        <v>20</v>
      </c>
      <c r="E3">
        <f t="shared" si="0"/>
        <v>-197.9</v>
      </c>
      <c r="F3">
        <f t="shared" si="1"/>
        <v>58</v>
      </c>
      <c r="G3">
        <f ca="1">INT(RAND()*Table1[[#This Row],[Input 1]]  + Table1[[#This Row],[Input 2]] + Table1[[#This Row],[Input 3]])</f>
        <v>23</v>
      </c>
    </row>
    <row r="4" spans="1:7" x14ac:dyDescent="0.2">
      <c r="A4">
        <v>3</v>
      </c>
      <c r="B4">
        <v>3</v>
      </c>
      <c r="C4">
        <v>6</v>
      </c>
      <c r="D4">
        <v>50</v>
      </c>
      <c r="E4">
        <f t="shared" si="0"/>
        <v>-496.1</v>
      </c>
      <c r="F4">
        <f t="shared" si="1"/>
        <v>597</v>
      </c>
      <c r="G4">
        <f ca="1">INT(RAND()*Table1[[#This Row],[Input 1]]  + Table1[[#This Row],[Input 2]] + Table1[[#This Row],[Input 3]])</f>
        <v>57</v>
      </c>
    </row>
    <row r="5" spans="1:7" x14ac:dyDescent="0.2">
      <c r="A5">
        <v>4</v>
      </c>
      <c r="B5">
        <v>4</v>
      </c>
      <c r="C5">
        <v>8</v>
      </c>
      <c r="D5">
        <v>30</v>
      </c>
      <c r="E5">
        <f t="shared" si="0"/>
        <v>-294.8</v>
      </c>
      <c r="F5">
        <f t="shared" si="1"/>
        <v>716</v>
      </c>
      <c r="G5">
        <f ca="1">INT(RAND()*Table1[[#This Row],[Input 1]]  + Table1[[#This Row],[Input 2]] + Table1[[#This Row],[Input 3]])</f>
        <v>41</v>
      </c>
    </row>
    <row r="6" spans="1:7" x14ac:dyDescent="0.2">
      <c r="A6">
        <v>5</v>
      </c>
      <c r="B6">
        <v>5</v>
      </c>
      <c r="C6">
        <v>2</v>
      </c>
      <c r="D6">
        <v>80</v>
      </c>
      <c r="E6">
        <f t="shared" si="0"/>
        <v>-797.5</v>
      </c>
      <c r="F6">
        <f t="shared" si="1"/>
        <v>635</v>
      </c>
      <c r="G6">
        <f ca="1">INT(RAND()*Table1[[#This Row],[Input 1]]  + Table1[[#This Row],[Input 2]] + Table1[[#This Row],[Input 3]])</f>
        <v>86</v>
      </c>
    </row>
    <row r="7" spans="1:7" x14ac:dyDescent="0.2">
      <c r="A7">
        <v>6</v>
      </c>
      <c r="B7">
        <v>6</v>
      </c>
      <c r="C7">
        <v>3</v>
      </c>
      <c r="D7">
        <v>90</v>
      </c>
      <c r="E7">
        <f t="shared" si="0"/>
        <v>-896.7</v>
      </c>
      <c r="F7">
        <f t="shared" si="1"/>
        <v>1344</v>
      </c>
      <c r="G7">
        <f ca="1">INT(RAND()*Table1[[#This Row],[Input 1]]  + Table1[[#This Row],[Input 2]] + Table1[[#This Row],[Input 3]])</f>
        <v>96</v>
      </c>
    </row>
    <row r="8" spans="1:7" x14ac:dyDescent="0.2">
      <c r="A8">
        <v>7</v>
      </c>
      <c r="B8">
        <v>7</v>
      </c>
      <c r="C8">
        <v>5</v>
      </c>
      <c r="D8">
        <v>20</v>
      </c>
      <c r="E8">
        <f t="shared" si="0"/>
        <v>-195.4</v>
      </c>
      <c r="F8">
        <f t="shared" si="1"/>
        <v>593</v>
      </c>
      <c r="G8">
        <f ca="1">INT(RAND()*Table1[[#This Row],[Input 1]]  + Table1[[#This Row],[Input 2]] + Table1[[#This Row],[Input 3]])</f>
        <v>27</v>
      </c>
    </row>
    <row r="9" spans="1:7" x14ac:dyDescent="0.2">
      <c r="A9">
        <v>8</v>
      </c>
      <c r="B9">
        <v>8</v>
      </c>
      <c r="C9">
        <v>6</v>
      </c>
      <c r="D9">
        <v>30</v>
      </c>
      <c r="E9">
        <f t="shared" si="0"/>
        <v>-294.60000000000002</v>
      </c>
      <c r="F9">
        <f t="shared" si="1"/>
        <v>1252</v>
      </c>
      <c r="G9">
        <f ca="1">INT(RAND()*Table1[[#This Row],[Input 1]]  + Table1[[#This Row],[Input 2]] + Table1[[#This Row],[Input 3]])</f>
        <v>39</v>
      </c>
    </row>
    <row r="10" spans="1:7" x14ac:dyDescent="0.2">
      <c r="A10">
        <v>9</v>
      </c>
      <c r="B10">
        <v>9</v>
      </c>
      <c r="C10">
        <v>7</v>
      </c>
      <c r="D10">
        <v>30</v>
      </c>
      <c r="E10">
        <f t="shared" si="0"/>
        <v>-293.8</v>
      </c>
      <c r="F10">
        <f t="shared" si="1"/>
        <v>1671</v>
      </c>
      <c r="G10">
        <f ca="1">INT(RAND()*Table1[[#This Row],[Input 1]]  + Table1[[#This Row],[Input 2]] + Table1[[#This Row],[Input 3]])</f>
        <v>39</v>
      </c>
    </row>
  </sheetData>
  <phoneticPr fontId="1" type="noConversion"/>
  <pageMargins left="0.7" right="0.7" top="0.75" bottom="0.75" header="0.3" footer="0.3"/>
  <headerFooter>
    <oddFooter>&amp;C_x000D_&amp;1#&amp;"Aptos"&amp;10&amp;K000000 Revvity Proprietary Information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56DAF-A86F-054D-B83A-A1D87FF7D89B}">
  <dimension ref="A1:M10"/>
  <sheetViews>
    <sheetView showGridLines="0" workbookViewId="0">
      <selection activeCell="J36" sqref="J36"/>
    </sheetView>
  </sheetViews>
  <sheetFormatPr baseColWidth="10" defaultRowHeight="16" x14ac:dyDescent="0.2"/>
  <cols>
    <col min="1" max="1" width="12" customWidth="1"/>
    <col min="8" max="10" width="19.1640625" customWidth="1"/>
    <col min="11" max="13" width="20.1640625" customWidth="1"/>
  </cols>
  <sheetData>
    <row r="1" spans="1:13" x14ac:dyDescent="0.2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2" t="s">
        <v>10</v>
      </c>
      <c r="M1" s="2" t="s">
        <v>11</v>
      </c>
    </row>
    <row r="2" spans="1:13" x14ac:dyDescent="0.2">
      <c r="A2">
        <v>1</v>
      </c>
      <c r="B2">
        <v>1</v>
      </c>
      <c r="C2">
        <v>5</v>
      </c>
      <c r="D2">
        <v>10</v>
      </c>
      <c r="E2">
        <v>-97.2</v>
      </c>
      <c r="F2">
        <v>-1</v>
      </c>
      <c r="G2">
        <v>15</v>
      </c>
      <c r="H2" s="1">
        <v>-80.900000000000006</v>
      </c>
      <c r="I2" s="1">
        <v>-19.690000000000001</v>
      </c>
      <c r="J2" s="1">
        <v>15.81</v>
      </c>
      <c r="K2" s="2">
        <v>15</v>
      </c>
      <c r="L2" s="2">
        <v>167.3</v>
      </c>
      <c r="M2" s="2">
        <v>1.5309999999999999</v>
      </c>
    </row>
    <row r="3" spans="1:13" x14ac:dyDescent="0.2">
      <c r="A3">
        <v>2</v>
      </c>
      <c r="B3">
        <v>2</v>
      </c>
      <c r="C3">
        <v>3</v>
      </c>
      <c r="D3">
        <v>20</v>
      </c>
      <c r="E3">
        <v>-197.9</v>
      </c>
      <c r="F3">
        <v>58</v>
      </c>
      <c r="G3">
        <v>24</v>
      </c>
      <c r="H3" s="1">
        <v>-185.7</v>
      </c>
      <c r="I3" s="1">
        <v>137.69999999999999</v>
      </c>
      <c r="J3" s="1">
        <v>26.36</v>
      </c>
      <c r="K3" s="2">
        <v>4.4720000000000004</v>
      </c>
      <c r="L3" s="2">
        <v>135.4</v>
      </c>
      <c r="M3" s="2">
        <v>0.4572</v>
      </c>
    </row>
    <row r="4" spans="1:13" x14ac:dyDescent="0.2">
      <c r="A4">
        <v>7</v>
      </c>
      <c r="B4">
        <v>7</v>
      </c>
      <c r="C4">
        <v>5</v>
      </c>
      <c r="D4">
        <v>20</v>
      </c>
      <c r="E4">
        <v>-195.4</v>
      </c>
      <c r="F4">
        <v>593</v>
      </c>
      <c r="G4">
        <v>26</v>
      </c>
      <c r="H4" s="1">
        <v>-185.7</v>
      </c>
      <c r="I4" s="1">
        <v>999.4</v>
      </c>
      <c r="J4" s="1">
        <v>26.36</v>
      </c>
      <c r="K4" s="2">
        <v>4.4720000000000004</v>
      </c>
      <c r="L4" s="2">
        <v>335.8</v>
      </c>
      <c r="M4" s="2">
        <v>0.4572</v>
      </c>
    </row>
    <row r="5" spans="1:13" x14ac:dyDescent="0.2">
      <c r="A5">
        <v>4</v>
      </c>
      <c r="B5">
        <v>4</v>
      </c>
      <c r="C5">
        <v>8</v>
      </c>
      <c r="D5">
        <v>30</v>
      </c>
      <c r="E5">
        <v>-294.8</v>
      </c>
      <c r="F5">
        <v>716</v>
      </c>
      <c r="G5">
        <v>41</v>
      </c>
      <c r="H5" s="1">
        <v>-310.5</v>
      </c>
      <c r="I5" s="1">
        <v>654.79999999999995</v>
      </c>
      <c r="J5" s="1">
        <v>38.96</v>
      </c>
      <c r="K5" s="2">
        <v>10.67</v>
      </c>
      <c r="L5" s="2">
        <v>118.1</v>
      </c>
      <c r="M5" s="2">
        <v>1.089</v>
      </c>
    </row>
    <row r="6" spans="1:13" x14ac:dyDescent="0.2">
      <c r="A6">
        <v>8</v>
      </c>
      <c r="B6">
        <v>8</v>
      </c>
      <c r="C6">
        <v>6</v>
      </c>
      <c r="D6">
        <v>30</v>
      </c>
      <c r="E6">
        <v>-294.60000000000002</v>
      </c>
      <c r="F6">
        <v>1252</v>
      </c>
      <c r="G6">
        <v>37</v>
      </c>
      <c r="H6" s="1">
        <v>-310.5</v>
      </c>
      <c r="I6" s="1">
        <v>1322</v>
      </c>
      <c r="J6" s="1">
        <v>38.96</v>
      </c>
      <c r="K6" s="2">
        <v>10.67</v>
      </c>
      <c r="L6" s="2">
        <v>238.8</v>
      </c>
      <c r="M6" s="2">
        <v>1.089</v>
      </c>
    </row>
    <row r="7" spans="1:13" x14ac:dyDescent="0.2">
      <c r="A7">
        <v>9</v>
      </c>
      <c r="B7">
        <v>9</v>
      </c>
      <c r="C7">
        <v>7</v>
      </c>
      <c r="D7">
        <v>30</v>
      </c>
      <c r="E7">
        <v>-293.8</v>
      </c>
      <c r="F7">
        <v>1671</v>
      </c>
      <c r="G7">
        <v>44</v>
      </c>
      <c r="H7" s="1">
        <v>-310.5</v>
      </c>
      <c r="I7" s="1">
        <v>1544</v>
      </c>
      <c r="J7" s="1">
        <v>38.96</v>
      </c>
      <c r="K7" s="2">
        <v>10.67</v>
      </c>
      <c r="L7" s="2">
        <v>280.89999999999998</v>
      </c>
      <c r="M7" s="2">
        <v>1.089</v>
      </c>
    </row>
    <row r="8" spans="1:13" x14ac:dyDescent="0.2">
      <c r="A8">
        <v>3</v>
      </c>
      <c r="B8">
        <v>3</v>
      </c>
      <c r="C8">
        <v>6</v>
      </c>
      <c r="D8">
        <v>50</v>
      </c>
      <c r="E8">
        <v>-496.1</v>
      </c>
      <c r="F8">
        <v>597</v>
      </c>
      <c r="G8">
        <v>58</v>
      </c>
      <c r="H8" s="1">
        <v>-493.3</v>
      </c>
      <c r="I8" s="1">
        <v>459.9</v>
      </c>
      <c r="J8" s="1">
        <v>57.34</v>
      </c>
      <c r="K8" s="2">
        <v>28.69</v>
      </c>
      <c r="L8" s="2">
        <v>189.6</v>
      </c>
      <c r="M8" s="2">
        <v>2.9289999999999998</v>
      </c>
    </row>
    <row r="9" spans="1:13" x14ac:dyDescent="0.2">
      <c r="A9">
        <v>5</v>
      </c>
      <c r="B9">
        <v>5</v>
      </c>
      <c r="C9">
        <v>2</v>
      </c>
      <c r="D9">
        <v>80</v>
      </c>
      <c r="E9">
        <v>-797.5</v>
      </c>
      <c r="F9">
        <v>635</v>
      </c>
      <c r="G9">
        <v>85</v>
      </c>
      <c r="H9" s="1">
        <v>-783.4</v>
      </c>
      <c r="I9" s="1">
        <v>768.4</v>
      </c>
      <c r="J9" s="1">
        <v>86.52</v>
      </c>
      <c r="K9" s="2">
        <v>14.44</v>
      </c>
      <c r="L9" s="2">
        <v>153.80000000000001</v>
      </c>
      <c r="M9" s="2">
        <v>1.474</v>
      </c>
    </row>
    <row r="10" spans="1:13" x14ac:dyDescent="0.2">
      <c r="A10">
        <v>6</v>
      </c>
      <c r="B10">
        <v>6</v>
      </c>
      <c r="C10">
        <v>3</v>
      </c>
      <c r="D10">
        <v>90</v>
      </c>
      <c r="E10">
        <v>-896.7</v>
      </c>
      <c r="F10">
        <v>1344</v>
      </c>
      <c r="G10">
        <v>97</v>
      </c>
      <c r="H10" s="1">
        <v>-887.8</v>
      </c>
      <c r="I10" s="1">
        <v>982.2</v>
      </c>
      <c r="J10" s="1">
        <v>97.03</v>
      </c>
      <c r="K10" s="2">
        <v>16.079999999999998</v>
      </c>
      <c r="L10" s="2">
        <v>285.5</v>
      </c>
      <c r="M10" s="2">
        <v>1.6419999999999999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a1b582e8-0077-416f-9765-e019f2ce0792}" enabled="1" method="Standard" siteId="{66a92d0f-8ca8-403c-84e6-5503c564399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Targets</vt:lpstr>
      <vt:lpstr>xxx Actual Model</vt:lpstr>
      <vt:lpstr>xxx predictions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Jun</dc:creator>
  <cp:lastModifiedBy>Liu, Jun</cp:lastModifiedBy>
  <dcterms:created xsi:type="dcterms:W3CDTF">2025-10-13T14:07:25Z</dcterms:created>
  <dcterms:modified xsi:type="dcterms:W3CDTF">2026-04-28T17:18:22Z</dcterms:modified>
</cp:coreProperties>
</file>