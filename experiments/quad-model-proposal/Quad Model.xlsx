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u/Desktop/"/>
    </mc:Choice>
  </mc:AlternateContent>
  <xr:revisionPtr revIDLastSave="0" documentId="13_ncr:1_{7A69056F-6D16-A242-BC22-ABE9B767AFA2}" xr6:coauthVersionLast="47" xr6:coauthVersionMax="47" xr10:uidLastSave="{00000000-0000-0000-0000-000000000000}"/>
  <bookViews>
    <workbookView xWindow="2060" yWindow="2600" windowWidth="28040" windowHeight="17440" xr2:uid="{0306178C-196F-A949-83BA-7B27B23D98CE}"/>
  </bookViews>
  <sheets>
    <sheet name="Actual Model" sheetId="1" r:id="rId1"/>
    <sheet name="Sheet1 prediction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E2" i="1"/>
  <c r="E3" i="1"/>
  <c r="E8" i="1"/>
  <c r="E5" i="1"/>
  <c r="E9" i="1"/>
  <c r="E10" i="1"/>
  <c r="E4" i="1"/>
  <c r="E6" i="1"/>
  <c r="E7" i="1"/>
  <c r="G2" i="1"/>
  <c r="G3" i="1"/>
  <c r="G8" i="1"/>
  <c r="G5" i="1"/>
  <c r="G9" i="1"/>
  <c r="G10" i="1"/>
  <c r="G4" i="1"/>
  <c r="G6" i="1"/>
  <c r="G7" i="1"/>
</calcChain>
</file>

<file path=xl/sharedStrings.xml><?xml version="1.0" encoding="utf-8"?>
<sst xmlns="http://schemas.openxmlformats.org/spreadsheetml/2006/main" count="20" uniqueCount="13">
  <si>
    <t>Input 1</t>
  </si>
  <si>
    <t>Input 2</t>
  </si>
  <si>
    <t>Input 3</t>
  </si>
  <si>
    <t>Output 1</t>
  </si>
  <si>
    <t>Output 2</t>
  </si>
  <si>
    <t>Output 3</t>
  </si>
  <si>
    <t>Output 1 prediction</t>
  </si>
  <si>
    <t>Output 2 prediction</t>
  </si>
  <si>
    <t>Output 3 prediction</t>
  </si>
  <si>
    <t>Output 1 uncertainty</t>
  </si>
  <si>
    <t>Output 2 uncertainty</t>
  </si>
  <si>
    <t>Output 3 uncertainty</t>
  </si>
  <si>
    <t>ROW 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</si>
</sst>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2C4EE"/>
        <bgColor indexed="64"/>
      </patternFill>
    </fill>
    <fill>
      <patternFill patternType="solid">
        <fgColor rgb="FF8DC63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18">
    <dxf>
      <numFmt numFmtId="0" formatCode="General"/>
      <fill>
        <patternFill patternType="solid">
          <fgColor indexed="64"/>
          <bgColor rgb="FF8DC63F"/>
        </patternFill>
      </fill>
    </dxf>
    <dxf>
      <numFmt numFmtId="0" formatCode="General"/>
      <fill>
        <patternFill patternType="solid">
          <fgColor indexed="64"/>
          <bgColor rgb="FF8DC63F"/>
        </patternFill>
      </fill>
    </dxf>
    <dxf>
      <numFmt numFmtId="0" formatCode="General"/>
      <fill>
        <patternFill patternType="solid">
          <fgColor indexed="64"/>
          <bgColor rgb="FF8DC63F"/>
        </patternFill>
      </fill>
    </dxf>
    <dxf>
      <numFmt numFmtId="0" formatCode="General"/>
      <fill>
        <patternFill patternType="solid">
          <fgColor indexed="64"/>
          <bgColor rgb="FF32C4EE"/>
        </patternFill>
      </fill>
    </dxf>
    <dxf>
      <numFmt numFmtId="0" formatCode="General"/>
      <fill>
        <patternFill patternType="solid">
          <fgColor indexed="64"/>
          <bgColor rgb="FF32C4EE"/>
        </patternFill>
      </fill>
    </dxf>
    <dxf>
      <numFmt numFmtId="0" formatCode="General"/>
      <fill>
        <patternFill patternType="solid">
          <fgColor indexed="64"/>
          <bgColor rgb="FF32C4E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rgb="FF8DC63F"/>
        </patternFill>
      </fill>
    </dxf>
    <dxf>
      <numFmt numFmtId="0" formatCode="General"/>
      <fill>
        <patternFill patternType="solid">
          <fgColor indexed="64"/>
          <bgColor rgb="FF8DC63F"/>
        </patternFill>
      </fill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E50C0E-D991-804D-92B8-9D9193E8DF60}" name="Table1" displayName="Table1" ref="A1:G10" totalsRowShown="0">
  <autoFilter ref="A1:G10" xr:uid="{10E50C0E-D991-804D-92B8-9D9193E8DF60}"/>
  <sortState xmlns:xlrd2="http://schemas.microsoft.com/office/spreadsheetml/2017/richdata2" ref="A2:G10">
    <sortCondition ref="D1:D10"/>
  </sortState>
  <tableColumns count="7">
    <tableColumn id="1" xr3:uid="{9539C604-4CC1-224C-9AE9-564821697C6C}" name="ROW NUM"/>
    <tableColumn id="7" xr3:uid="{3CAE235D-1989-6F42-A60A-7B8FC8A774D3}" name="Input 1"/>
    <tableColumn id="2" xr3:uid="{3CC7D3F3-D561-F043-937C-695DE9C18BDB}" name="Input 2"/>
    <tableColumn id="3" xr3:uid="{DACB5751-FBCB-7347-8B51-F87D769CD468}" name="Input 3"/>
    <tableColumn id="4" xr3:uid="{9DE2D8C8-195F-0F4F-9F59-51810DD0CA30}" name="Output 1" dataDxfId="17">
      <calculatedColumnFormula>B2*0.3 + C2*0.5 - D2*10</calculatedColumnFormula>
    </tableColumn>
    <tableColumn id="5" xr3:uid="{A1D8645A-5258-0642-BCE2-050B3B9F789B}" name="Output 2" dataDxfId="16">
      <calculatedColumnFormula>B2*C2*D2-B2-D2*C2</calculatedColumnFormula>
    </tableColumn>
    <tableColumn id="6" xr3:uid="{4D5E4DA2-A09F-5741-B645-DA2A0EBF29EC}" name="Output 3" dataDxfId="15">
      <calculatedColumnFormula>INT(RAND()*Table1[[#This Row],[Input 1]]  + Table1[[#This Row],[Input 2]] + Table1[[#This Row],[Input 3]])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8DDC07-B596-154D-B441-E400DBADF2D6}" name="Table2" displayName="Table2" ref="A1:M10" totalsRowShown="0" headerRowDxfId="14" dataDxfId="13">
  <autoFilter ref="A1:M10" xr:uid="{C58DDC07-B596-154D-B441-E400DBADF2D6}"/>
  <tableColumns count="13">
    <tableColumn id="1" xr3:uid="{91B587A9-47FD-C547-A43E-E54A24DD4070}" name="ROW NUM" dataDxfId="12"/>
    <tableColumn id="2" xr3:uid="{F7B86DD5-682B-F24A-997C-3CFE85977327}" name="Input 1" dataDxfId="11"/>
    <tableColumn id="3" xr3:uid="{DF8ECEDF-3D7E-F54D-9F96-F100A34D07C3}" name="Input 2" dataDxfId="10"/>
    <tableColumn id="4" xr3:uid="{555CBE6E-78E3-1042-8460-7E711D306E9C}" name="Input 3" dataDxfId="9"/>
    <tableColumn id="5" xr3:uid="{8ACCA02D-F444-3E45-BC44-7997AAF1DC06}" name="Output 1" dataDxfId="8"/>
    <tableColumn id="6" xr3:uid="{9F8A07C5-ED18-7D4C-B183-6CEF2389C147}" name="Output 2" dataDxfId="7"/>
    <tableColumn id="7" xr3:uid="{59B37B1D-3BB7-B445-8A7E-30F1DD59CE56}" name="Output 3" dataDxfId="6"/>
    <tableColumn id="8" xr3:uid="{D1CE1D7D-93FA-184A-BBB0-75704B130758}" name="Output 1 prediction" dataDxfId="5"/>
    <tableColumn id="9" xr3:uid="{9ECDBACF-2D06-3948-BF83-199ACB8933F3}" name="Output 2 prediction" dataDxfId="4"/>
    <tableColumn id="10" xr3:uid="{89CC5218-4878-C049-B22D-5512D8E3038A}" name="Output 3 prediction" dataDxfId="3"/>
    <tableColumn id="11" xr3:uid="{6BD7AA4B-4F81-D944-AD02-B3EC6CD5522A}" name="Output 1 uncertainty" dataDxfId="2"/>
    <tableColumn id="12" xr3:uid="{11564B90-738B-034A-A983-E7ADAB73CC48}" name="Output 2 uncertainty" dataDxfId="1"/>
    <tableColumn id="13" xr3:uid="{B8BA8942-F3F3-1A41-8AD5-273586AAEE9C}" name="Output 3 uncertain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3FFA825-F46B-B444-9F8D-48BF1C61754D}">
  <we:reference id="wa200009125" version="1.0.2.0" store="en-GB" storeType="OMEX"/>
  <we:alternateReferences>
    <we:reference id="WA200009125" version="1.0.2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464C6-369E-D846-BCA4-2B1047987EB7}">
  <dimension ref="A1:G10"/>
  <sheetViews>
    <sheetView showGridLines="0" tabSelected="1" workbookViewId="0">
      <selection activeCell="F35" sqref="F35"/>
    </sheetView>
  </sheetViews>
  <sheetFormatPr baseColWidth="10" defaultRowHeight="16" x14ac:dyDescent="0.2"/>
  <cols>
    <col min="1" max="1" width="14" customWidth="1"/>
    <col min="5" max="5" width="14.1640625" customWidth="1"/>
    <col min="6" max="6" width="15.5" customWidth="1"/>
    <col min="7" max="7" width="16.1640625" customWidth="1"/>
  </cols>
  <sheetData>
    <row r="1" spans="1:7" x14ac:dyDescent="0.2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>
        <v>1</v>
      </c>
      <c r="B2">
        <v>1</v>
      </c>
      <c r="C2">
        <v>5</v>
      </c>
      <c r="D2">
        <v>10</v>
      </c>
      <c r="E2">
        <f t="shared" ref="E2:E10" si="0">B2*0.3 + C2*0.5 - D2*10</f>
        <v>-97.2</v>
      </c>
      <c r="F2">
        <f t="shared" ref="F2:F10" si="1">B2*C2*D2-B2-D2*C2</f>
        <v>-1</v>
      </c>
      <c r="G2">
        <f ca="1">INT(RAND()*Table1[[#This Row],[Input 1]]  + Table1[[#This Row],[Input 2]] + Table1[[#This Row],[Input 3]])</f>
        <v>15</v>
      </c>
    </row>
    <row r="3" spans="1:7" x14ac:dyDescent="0.2">
      <c r="A3">
        <v>2</v>
      </c>
      <c r="B3">
        <v>2</v>
      </c>
      <c r="C3">
        <v>3</v>
      </c>
      <c r="D3">
        <v>20</v>
      </c>
      <c r="E3">
        <f t="shared" si="0"/>
        <v>-197.9</v>
      </c>
      <c r="F3">
        <f t="shared" si="1"/>
        <v>58</v>
      </c>
      <c r="G3">
        <f ca="1">INT(RAND()*Table1[[#This Row],[Input 1]]  + Table1[[#This Row],[Input 2]] + Table1[[#This Row],[Input 3]])</f>
        <v>24</v>
      </c>
    </row>
    <row r="4" spans="1:7" x14ac:dyDescent="0.2">
      <c r="A4">
        <v>7</v>
      </c>
      <c r="B4">
        <v>7</v>
      </c>
      <c r="C4">
        <v>5</v>
      </c>
      <c r="D4">
        <v>20</v>
      </c>
      <c r="E4">
        <f t="shared" si="0"/>
        <v>-195.4</v>
      </c>
      <c r="F4">
        <f t="shared" si="1"/>
        <v>593</v>
      </c>
      <c r="G4">
        <f ca="1">INT(RAND()*Table1[[#This Row],[Input 1]]  + Table1[[#This Row],[Input 2]] + Table1[[#This Row],[Input 3]])</f>
        <v>25</v>
      </c>
    </row>
    <row r="5" spans="1:7" x14ac:dyDescent="0.2">
      <c r="A5">
        <v>4</v>
      </c>
      <c r="B5">
        <v>4</v>
      </c>
      <c r="C5">
        <v>8</v>
      </c>
      <c r="D5">
        <v>30</v>
      </c>
      <c r="E5">
        <f t="shared" si="0"/>
        <v>-294.8</v>
      </c>
      <c r="F5">
        <f t="shared" si="1"/>
        <v>716</v>
      </c>
      <c r="G5">
        <f ca="1">INT(RAND()*Table1[[#This Row],[Input 1]]  + Table1[[#This Row],[Input 2]] + Table1[[#This Row],[Input 3]])</f>
        <v>41</v>
      </c>
    </row>
    <row r="6" spans="1:7" x14ac:dyDescent="0.2">
      <c r="A6">
        <v>8</v>
      </c>
      <c r="B6">
        <v>8</v>
      </c>
      <c r="C6">
        <v>6</v>
      </c>
      <c r="D6">
        <v>30</v>
      </c>
      <c r="E6">
        <f t="shared" si="0"/>
        <v>-294.60000000000002</v>
      </c>
      <c r="F6">
        <f t="shared" si="1"/>
        <v>1252</v>
      </c>
      <c r="G6">
        <f ca="1">INT(RAND()*Table1[[#This Row],[Input 1]]  + Table1[[#This Row],[Input 2]] + Table1[[#This Row],[Input 3]])</f>
        <v>43</v>
      </c>
    </row>
    <row r="7" spans="1:7" x14ac:dyDescent="0.2">
      <c r="A7">
        <v>9</v>
      </c>
      <c r="B7">
        <v>9</v>
      </c>
      <c r="C7">
        <v>7</v>
      </c>
      <c r="D7">
        <v>30</v>
      </c>
      <c r="E7">
        <f t="shared" si="0"/>
        <v>-293.8</v>
      </c>
      <c r="F7">
        <f t="shared" si="1"/>
        <v>1671</v>
      </c>
      <c r="G7">
        <f ca="1">INT(RAND()*Table1[[#This Row],[Input 1]]  + Table1[[#This Row],[Input 2]] + Table1[[#This Row],[Input 3]])</f>
        <v>39</v>
      </c>
    </row>
    <row r="8" spans="1:7" x14ac:dyDescent="0.2">
      <c r="A8">
        <v>3</v>
      </c>
      <c r="B8">
        <v>3</v>
      </c>
      <c r="C8">
        <v>6</v>
      </c>
      <c r="D8">
        <v>50</v>
      </c>
      <c r="E8">
        <f t="shared" si="0"/>
        <v>-496.1</v>
      </c>
      <c r="F8">
        <f t="shared" si="1"/>
        <v>597</v>
      </c>
      <c r="G8">
        <f ca="1">INT(RAND()*Table1[[#This Row],[Input 1]]  + Table1[[#This Row],[Input 2]] + Table1[[#This Row],[Input 3]])</f>
        <v>57</v>
      </c>
    </row>
    <row r="9" spans="1:7" x14ac:dyDescent="0.2">
      <c r="A9">
        <v>5</v>
      </c>
      <c r="B9">
        <v>5</v>
      </c>
      <c r="C9">
        <v>2</v>
      </c>
      <c r="D9">
        <v>80</v>
      </c>
      <c r="E9">
        <f t="shared" si="0"/>
        <v>-797.5</v>
      </c>
      <c r="F9">
        <f t="shared" si="1"/>
        <v>635</v>
      </c>
      <c r="G9">
        <f ca="1">INT(RAND()*Table1[[#This Row],[Input 1]]  + Table1[[#This Row],[Input 2]] + Table1[[#This Row],[Input 3]])</f>
        <v>85</v>
      </c>
    </row>
    <row r="10" spans="1:7" x14ac:dyDescent="0.2">
      <c r="A10">
        <v>6</v>
      </c>
      <c r="B10">
        <v>6</v>
      </c>
      <c r="C10">
        <v>3</v>
      </c>
      <c r="D10">
        <v>90</v>
      </c>
      <c r="E10">
        <f t="shared" si="0"/>
        <v>-896.7</v>
      </c>
      <c r="F10">
        <f t="shared" si="1"/>
        <v>1344</v>
      </c>
      <c r="G10">
        <f ca="1">INT(RAND()*Table1[[#This Row],[Input 1]]  + Table1[[#This Row],[Input 2]] + Table1[[#This Row],[Input 3]])</f>
        <v>98</v>
      </c>
    </row>
  </sheetData>
  <phoneticPr fontId="1" type="noConversion"/>
  <pageMargins left="0.7" right="0.7" top="0.75" bottom="0.75" header="0.3" footer="0.3"/>
  <headerFooter>
    <oddFooter>&amp;C_x000D_&amp;1#&amp;"Aptos"&amp;10&amp;K000000 Revvity Proprietary Information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56DAF-A86F-054D-B83A-A1D87FF7D89B}">
  <dimension ref="A1:M10"/>
  <sheetViews>
    <sheetView showGridLines="0" workbookViewId="0">
      <selection activeCell="H30" sqref="H30"/>
    </sheetView>
  </sheetViews>
  <sheetFormatPr baseColWidth="10" defaultRowHeight="16" x14ac:dyDescent="0.2"/>
  <cols>
    <col min="1" max="1" width="12" customWidth="1"/>
    <col min="8" max="10" width="19.1640625" customWidth="1"/>
    <col min="11" max="13" width="20.1640625" customWidth="1"/>
  </cols>
  <sheetData>
    <row r="1" spans="1:13" x14ac:dyDescent="0.2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s="1" t="s">
        <v>6</v>
      </c>
      <c r="I1" s="1" t="s">
        <v>7</v>
      </c>
      <c r="J1" s="1" t="s">
        <v>8</v>
      </c>
      <c r="K1" s="2" t="s">
        <v>9</v>
      </c>
      <c r="L1" s="2" t="s">
        <v>10</v>
      </c>
      <c r="M1" s="2" t="s">
        <v>11</v>
      </c>
    </row>
    <row r="2" spans="1:13" x14ac:dyDescent="0.2">
      <c r="A2">
        <v>1</v>
      </c>
      <c r="B2">
        <v>1</v>
      </c>
      <c r="C2">
        <v>5</v>
      </c>
      <c r="D2">
        <v>10</v>
      </c>
      <c r="E2">
        <v>-97.2</v>
      </c>
      <c r="F2">
        <v>-1</v>
      </c>
      <c r="G2">
        <v>15</v>
      </c>
      <c r="H2" s="1">
        <v>-80.900000000000006</v>
      </c>
      <c r="I2" s="1">
        <v>-19.690000000000001</v>
      </c>
      <c r="J2" s="1">
        <v>15.81</v>
      </c>
      <c r="K2" s="2">
        <v>15</v>
      </c>
      <c r="L2" s="2">
        <v>167.3</v>
      </c>
      <c r="M2" s="2">
        <v>1.5309999999999999</v>
      </c>
    </row>
    <row r="3" spans="1:13" x14ac:dyDescent="0.2">
      <c r="A3">
        <v>2</v>
      </c>
      <c r="B3">
        <v>2</v>
      </c>
      <c r="C3">
        <v>3</v>
      </c>
      <c r="D3">
        <v>20</v>
      </c>
      <c r="E3">
        <v>-197.9</v>
      </c>
      <c r="F3">
        <v>58</v>
      </c>
      <c r="G3">
        <v>24</v>
      </c>
      <c r="H3" s="1">
        <v>-185.7</v>
      </c>
      <c r="I3" s="1">
        <v>137.69999999999999</v>
      </c>
      <c r="J3" s="1">
        <v>26.36</v>
      </c>
      <c r="K3" s="2">
        <v>4.4720000000000004</v>
      </c>
      <c r="L3" s="2">
        <v>135.4</v>
      </c>
      <c r="M3" s="2">
        <v>0.4572</v>
      </c>
    </row>
    <row r="4" spans="1:13" x14ac:dyDescent="0.2">
      <c r="A4">
        <v>7</v>
      </c>
      <c r="B4">
        <v>7</v>
      </c>
      <c r="C4">
        <v>5</v>
      </c>
      <c r="D4">
        <v>20</v>
      </c>
      <c r="E4">
        <v>-195.4</v>
      </c>
      <c r="F4">
        <v>593</v>
      </c>
      <c r="G4">
        <v>26</v>
      </c>
      <c r="H4" s="1">
        <v>-185.7</v>
      </c>
      <c r="I4" s="1">
        <v>999.4</v>
      </c>
      <c r="J4" s="1">
        <v>26.36</v>
      </c>
      <c r="K4" s="2">
        <v>4.4720000000000004</v>
      </c>
      <c r="L4" s="2">
        <v>335.8</v>
      </c>
      <c r="M4" s="2">
        <v>0.4572</v>
      </c>
    </row>
    <row r="5" spans="1:13" x14ac:dyDescent="0.2">
      <c r="A5">
        <v>4</v>
      </c>
      <c r="B5">
        <v>4</v>
      </c>
      <c r="C5">
        <v>8</v>
      </c>
      <c r="D5">
        <v>30</v>
      </c>
      <c r="E5">
        <v>-294.8</v>
      </c>
      <c r="F5">
        <v>716</v>
      </c>
      <c r="G5">
        <v>41</v>
      </c>
      <c r="H5" s="1">
        <v>-310.5</v>
      </c>
      <c r="I5" s="1">
        <v>654.79999999999995</v>
      </c>
      <c r="J5" s="1">
        <v>38.96</v>
      </c>
      <c r="K5" s="2">
        <v>10.67</v>
      </c>
      <c r="L5" s="2">
        <v>118.1</v>
      </c>
      <c r="M5" s="2">
        <v>1.089</v>
      </c>
    </row>
    <row r="6" spans="1:13" x14ac:dyDescent="0.2">
      <c r="A6">
        <v>8</v>
      </c>
      <c r="B6">
        <v>8</v>
      </c>
      <c r="C6">
        <v>6</v>
      </c>
      <c r="D6">
        <v>30</v>
      </c>
      <c r="E6">
        <v>-294.60000000000002</v>
      </c>
      <c r="F6">
        <v>1252</v>
      </c>
      <c r="G6">
        <v>37</v>
      </c>
      <c r="H6" s="1">
        <v>-310.5</v>
      </c>
      <c r="I6" s="1">
        <v>1322</v>
      </c>
      <c r="J6" s="1">
        <v>38.96</v>
      </c>
      <c r="K6" s="2">
        <v>10.67</v>
      </c>
      <c r="L6" s="2">
        <v>238.8</v>
      </c>
      <c r="M6" s="2">
        <v>1.089</v>
      </c>
    </row>
    <row r="7" spans="1:13" x14ac:dyDescent="0.2">
      <c r="A7">
        <v>9</v>
      </c>
      <c r="B7">
        <v>9</v>
      </c>
      <c r="C7">
        <v>7</v>
      </c>
      <c r="D7">
        <v>30</v>
      </c>
      <c r="E7">
        <v>-293.8</v>
      </c>
      <c r="F7">
        <v>1671</v>
      </c>
      <c r="G7">
        <v>44</v>
      </c>
      <c r="H7" s="1">
        <v>-310.5</v>
      </c>
      <c r="I7" s="1">
        <v>1544</v>
      </c>
      <c r="J7" s="1">
        <v>38.96</v>
      </c>
      <c r="K7" s="2">
        <v>10.67</v>
      </c>
      <c r="L7" s="2">
        <v>280.89999999999998</v>
      </c>
      <c r="M7" s="2">
        <v>1.089</v>
      </c>
    </row>
    <row r="8" spans="1:13" x14ac:dyDescent="0.2">
      <c r="A8">
        <v>3</v>
      </c>
      <c r="B8">
        <v>3</v>
      </c>
      <c r="C8">
        <v>6</v>
      </c>
      <c r="D8">
        <v>50</v>
      </c>
      <c r="E8">
        <v>-496.1</v>
      </c>
      <c r="F8">
        <v>597</v>
      </c>
      <c r="G8">
        <v>58</v>
      </c>
      <c r="H8" s="1">
        <v>-493.3</v>
      </c>
      <c r="I8" s="1">
        <v>459.9</v>
      </c>
      <c r="J8" s="1">
        <v>57.34</v>
      </c>
      <c r="K8" s="2">
        <v>28.69</v>
      </c>
      <c r="L8" s="2">
        <v>189.6</v>
      </c>
      <c r="M8" s="2">
        <v>2.9289999999999998</v>
      </c>
    </row>
    <row r="9" spans="1:13" x14ac:dyDescent="0.2">
      <c r="A9">
        <v>5</v>
      </c>
      <c r="B9">
        <v>5</v>
      </c>
      <c r="C9">
        <v>2</v>
      </c>
      <c r="D9">
        <v>80</v>
      </c>
      <c r="E9">
        <v>-797.5</v>
      </c>
      <c r="F9">
        <v>635</v>
      </c>
      <c r="G9">
        <v>85</v>
      </c>
      <c r="H9" s="1">
        <v>-783.4</v>
      </c>
      <c r="I9" s="1">
        <v>768.4</v>
      </c>
      <c r="J9" s="1">
        <v>86.52</v>
      </c>
      <c r="K9" s="2">
        <v>14.44</v>
      </c>
      <c r="L9" s="2">
        <v>153.80000000000001</v>
      </c>
      <c r="M9" s="2">
        <v>1.474</v>
      </c>
    </row>
    <row r="10" spans="1:13" x14ac:dyDescent="0.2">
      <c r="A10">
        <v>6</v>
      </c>
      <c r="B10">
        <v>6</v>
      </c>
      <c r="C10">
        <v>3</v>
      </c>
      <c r="D10">
        <v>90</v>
      </c>
      <c r="E10">
        <v>-896.7</v>
      </c>
      <c r="F10">
        <v>1344</v>
      </c>
      <c r="G10">
        <v>97</v>
      </c>
      <c r="H10" s="1">
        <v>-887.8</v>
      </c>
      <c r="I10" s="1">
        <v>982.2</v>
      </c>
      <c r="J10" s="1">
        <v>97.03</v>
      </c>
      <c r="K10" s="2">
        <v>16.079999999999998</v>
      </c>
      <c r="L10" s="2">
        <v>285.5</v>
      </c>
      <c r="M10" s="2">
        <v>1.6419999999999999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a1b582e8-0077-416f-9765-e019f2ce0792}" enabled="1" method="Standard" siteId="{66a92d0f-8ca8-403c-84e6-5503c5643994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Actual Model</vt:lpstr>
      <vt:lpstr>Sheet1 predictions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Jun</dc:creator>
  <cp:lastModifiedBy>Liu, Jun</cp:lastModifiedBy>
  <dcterms:created xsi:type="dcterms:W3CDTF">2025-10-13T14:07:25Z</dcterms:created>
  <dcterms:modified xsi:type="dcterms:W3CDTF">2026-04-24T17:44:11Z</dcterms:modified>
</cp:coreProperties>
</file>